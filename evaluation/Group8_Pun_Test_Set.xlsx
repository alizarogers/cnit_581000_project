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log Questions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color rgb="FF1F3864"/>
      <sz val="10"/>
    </font>
    <font>
      <name val="Arial"/>
      <charset val="1"/>
      <b val="1"/>
      <sz val="12"/>
    </font>
    <font>
      <name val="Arial"/>
      <charset val="1"/>
      <b val="1"/>
      <sz val="10"/>
    </font>
    <font>
      <name val="Arial"/>
      <charset val="1"/>
      <i val="1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5" fillId="0" borderId="0" pivotButton="0" quotePrefix="0" xfId="0"/>
    <xf numFmtId="165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zoomScaleNormal="100" workbookViewId="0">
      <pane xSplit="2" ySplit="1" topLeftCell="C2" activePane="bottomRight" state="frozen"/>
      <selection pane="bottomRight" activeCell="A1" sqref="A1"/>
      <selection pane="bottomLeft" activeCell="A2" sqref="A2"/>
      <selection pane="topRight" activeCell="C1" sqref="C1"/>
    </sheetView>
  </sheetViews>
  <sheetFormatPr baseColWidth="8" defaultColWidth="8.7109375" defaultRowHeight="15"/>
  <cols>
    <col width="7" customWidth="1" min="1" max="1"/>
    <col width="58" customWidth="1" min="2" max="2"/>
    <col width="14" customWidth="1" min="3" max="3"/>
    <col width="26" customWidth="1" min="4" max="4"/>
    <col width="14" customWidth="1" min="5" max="5"/>
    <col width="20" customWidth="1" min="6" max="7"/>
    <col width="9" customWidth="1" min="8" max="8"/>
    <col width="20" customWidth="1" min="9" max="9"/>
    <col width="16" customWidth="1" min="10" max="10"/>
    <col width="10" customWidth="1" min="11" max="11"/>
    <col width="48" customWidth="1" min="12" max="12"/>
  </cols>
  <sheetData>
    <row r="1" ht="42" customHeight="1">
      <c r="A1" s="2" t="inlineStr">
        <is>
          <t>ID</t>
        </is>
      </c>
      <c r="B1" s="2" t="inlineStr">
        <is>
          <t>Sentence</t>
        </is>
      </c>
      <c r="C1" s="2" t="inlineStr">
        <is>
          <t>Label (ground truth)</t>
        </is>
      </c>
      <c r="D1" s="2" t="inlineStr">
        <is>
          <t>Category</t>
        </is>
      </c>
      <c r="E1" s="2" t="inlineStr">
        <is>
          <t>Target word</t>
        </is>
      </c>
      <c r="F1" s="2" t="inlineStr">
        <is>
          <t>Sense A</t>
        </is>
      </c>
      <c r="G1" s="2" t="inlineStr">
        <is>
          <t>Sense B</t>
        </is>
      </c>
      <c r="H1" s="2" t="inlineStr">
        <is>
          <t>Twin of</t>
        </is>
      </c>
      <c r="I1" s="2" t="inlineStr">
        <is>
          <t>Second labeler (blank until independent label)</t>
        </is>
      </c>
      <c r="J1" s="2" t="inlineStr">
        <is>
          <t>Pipeline says (fill after run)</t>
        </is>
      </c>
      <c r="K1" s="2" t="inlineStr">
        <is>
          <t>Outcome</t>
        </is>
      </c>
      <c r="L1" s="2" t="inlineStr">
        <is>
          <t>Notes</t>
        </is>
      </c>
    </row>
    <row r="2">
      <c r="A2" s="3" t="inlineStr">
        <is>
          <t>P01</t>
        </is>
      </c>
      <c r="B2" s="3" t="inlineStr">
        <is>
          <t>I used to be a banker, but I lost interest.</t>
        </is>
      </c>
      <c r="C2" s="4" t="inlineStr">
        <is>
          <t>Pun</t>
        </is>
      </c>
      <c r="D2" s="3" t="inlineStr">
        <is>
          <t>Homographic pun</t>
        </is>
      </c>
      <c r="E2" s="3" t="inlineStr">
        <is>
          <t>interest</t>
        </is>
      </c>
      <c r="F2" s="3" t="inlineStr">
        <is>
          <t>money earned</t>
        </is>
      </c>
      <c r="G2" s="3" t="inlineStr">
        <is>
          <t>curiosity</t>
        </is>
      </c>
      <c r="H2" s="3" t="n"/>
      <c r="I2" s="5" t="n"/>
      <c r="J2" s="5" t="n"/>
      <c r="K2" s="3">
        <f>IF(J2="","",IF(AND(C2="Pun",J2="Pun"),"TP",IF(AND(C2="Non-pun",J2="Pun"),"FP",IF(AND(C2="Pun",J2="Non-pun"),"FN","TN"))))</f>
        <v/>
      </c>
      <c r="L2" s="3" t="inlineStr">
        <is>
          <t>Video example that works.</t>
        </is>
      </c>
    </row>
    <row r="3">
      <c r="A3" s="3" t="inlineStr">
        <is>
          <t>P02</t>
        </is>
      </c>
      <c r="B3" s="3" t="inlineStr">
        <is>
          <t>Every play in the theater needs a good cast.</t>
        </is>
      </c>
      <c r="C3" s="4" t="inlineStr">
        <is>
          <t>Pun</t>
        </is>
      </c>
      <c r="D3" s="3" t="inlineStr">
        <is>
          <t>Homographic pun</t>
        </is>
      </c>
      <c r="E3" s="3" t="inlineStr">
        <is>
          <t>cast</t>
        </is>
      </c>
      <c r="F3" s="3" t="inlineStr">
        <is>
          <t>actors</t>
        </is>
      </c>
      <c r="G3" s="3" t="inlineStr">
        <is>
          <t>plaster cast</t>
        </is>
      </c>
      <c r="H3" s="3" t="n"/>
      <c r="I3" s="5" t="n"/>
      <c r="J3" s="5" t="n"/>
      <c r="K3" s="3">
        <f>IF(J3="","",IF(AND(C3="Pun",J3="Pun"),"TP",IF(AND(C3="Non-pun",J3="Pun"),"FP",IF(AND(C3="Pun",J3="Non-pun"),"FN","TN"))))</f>
        <v/>
      </c>
      <c r="L3" s="3" t="inlineStr">
        <is>
          <t>Example used in Milestone 3.</t>
        </is>
      </c>
    </row>
    <row r="4">
      <c r="A4" s="3" t="inlineStr">
        <is>
          <t>P03</t>
        </is>
      </c>
      <c r="B4" s="3" t="inlineStr">
        <is>
          <t>I wouldn't buy anything with velcro; it's a rip-off.</t>
        </is>
      </c>
      <c r="C4" s="4" t="inlineStr">
        <is>
          <t>Pun</t>
        </is>
      </c>
      <c r="D4" s="3" t="inlineStr">
        <is>
          <t>Homographic pun</t>
        </is>
      </c>
      <c r="E4" s="3" t="inlineStr">
        <is>
          <t>rip-off</t>
        </is>
      </c>
      <c r="F4" s="3" t="inlineStr">
        <is>
          <t>tearing apart</t>
        </is>
      </c>
      <c r="G4" s="3" t="inlineStr">
        <is>
          <t>swindle</t>
        </is>
      </c>
      <c r="H4" s="3" t="n"/>
      <c r="I4" s="5" t="n"/>
      <c r="J4" s="5" t="n"/>
      <c r="K4" s="3">
        <f>IF(J4="","",IF(AND(C4="Pun",J4="Pun"),"TP",IF(AND(C4="Non-pun",J4="Pun"),"FP",IF(AND(C4="Pun",J4="Non-pun"),"FN","TN"))))</f>
        <v/>
      </c>
      <c r="L4" s="3" t="n"/>
    </row>
    <row r="5">
      <c r="A5" s="3" t="inlineStr">
        <is>
          <t>P04</t>
        </is>
      </c>
      <c r="B5" s="3" t="inlineStr">
        <is>
          <t>The scarecrow won an award because he was outstanding in his field.</t>
        </is>
      </c>
      <c r="C5" s="4" t="inlineStr">
        <is>
          <t>Pun</t>
        </is>
      </c>
      <c r="D5" s="3" t="inlineStr">
        <is>
          <t>Homographic pun</t>
        </is>
      </c>
      <c r="E5" s="3" t="inlineStr">
        <is>
          <t>field</t>
        </is>
      </c>
      <c r="F5" s="3" t="inlineStr">
        <is>
          <t>farm field</t>
        </is>
      </c>
      <c r="G5" s="3" t="inlineStr">
        <is>
          <t>area of work</t>
        </is>
      </c>
      <c r="H5" s="3" t="n"/>
      <c r="I5" s="5" t="n"/>
      <c r="J5" s="5" t="n"/>
      <c r="K5" s="3">
        <f>IF(J5="","",IF(AND(C5="Pun",J5="Pun"),"TP",IF(AND(C5="Non-pun",J5="Pun"),"FP",IF(AND(C5="Pun",J5="Non-pun"),"FN","TN"))))</f>
        <v/>
      </c>
      <c r="L5" s="3" t="n"/>
    </row>
    <row r="6">
      <c r="A6" s="3" t="inlineStr">
        <is>
          <t>P05</t>
        </is>
      </c>
      <c r="B6" s="3" t="inlineStr">
        <is>
          <t>I couldn't figure out how the seat belt worked, and then it clicked.</t>
        </is>
      </c>
      <c r="C6" s="4" t="inlineStr">
        <is>
          <t>Pun</t>
        </is>
      </c>
      <c r="D6" s="3" t="inlineStr">
        <is>
          <t>Homographic pun</t>
        </is>
      </c>
      <c r="E6" s="3" t="inlineStr">
        <is>
          <t>clicked</t>
        </is>
      </c>
      <c r="F6" s="3" t="inlineStr">
        <is>
          <t>made a click sound</t>
        </is>
      </c>
      <c r="G6" s="3" t="inlineStr">
        <is>
          <t>became clear</t>
        </is>
      </c>
      <c r="H6" s="3" t="n"/>
      <c r="I6" s="5" t="n"/>
      <c r="J6" s="5" t="n"/>
      <c r="K6" s="3">
        <f>IF(J6="","",IF(AND(C6="Pun",J6="Pun"),"TP",IF(AND(C6="Non-pun",J6="Pun"),"FP",IF(AND(C6="Pun",J6="Non-pun"),"FN","TN"))))</f>
        <v/>
      </c>
      <c r="L6" s="3" t="n"/>
    </row>
    <row r="7">
      <c r="A7" s="3" t="inlineStr">
        <is>
          <t>P06</t>
        </is>
      </c>
      <c r="B7" s="3" t="inlineStr">
        <is>
          <t>The math book was sad because it had too many problems.</t>
        </is>
      </c>
      <c r="C7" s="4" t="inlineStr">
        <is>
          <t>Pun</t>
        </is>
      </c>
      <c r="D7" s="3" t="inlineStr">
        <is>
          <t>Homographic pun</t>
        </is>
      </c>
      <c r="E7" s="3" t="inlineStr">
        <is>
          <t>problems</t>
        </is>
      </c>
      <c r="F7" s="3" t="inlineStr">
        <is>
          <t>math exercises</t>
        </is>
      </c>
      <c r="G7" s="3" t="inlineStr">
        <is>
          <t>troubles</t>
        </is>
      </c>
      <c r="H7" s="3" t="n"/>
      <c r="I7" s="5" t="n"/>
      <c r="J7" s="5" t="n"/>
      <c r="K7" s="3">
        <f>IF(J7="","",IF(AND(C7="Pun",J7="Pun"),"TP",IF(AND(C7="Non-pun",J7="Pun"),"FP",IF(AND(C7="Pun",J7="Non-pun"),"FN","TN"))))</f>
        <v/>
      </c>
      <c r="L7" s="3" t="n"/>
    </row>
    <row r="8">
      <c r="A8" s="3" t="inlineStr">
        <is>
          <t>P07</t>
        </is>
      </c>
      <c r="B8" s="3" t="inlineStr">
        <is>
          <t>The bank teller kept losing his balance at work.</t>
        </is>
      </c>
      <c r="C8" s="4" t="inlineStr">
        <is>
          <t>Pun</t>
        </is>
      </c>
      <c r="D8" s="3" t="inlineStr">
        <is>
          <t>Homographic pun</t>
        </is>
      </c>
      <c r="E8" s="3" t="inlineStr">
        <is>
          <t>balance</t>
        </is>
      </c>
      <c r="F8" s="3" t="inlineStr">
        <is>
          <t>account balance</t>
        </is>
      </c>
      <c r="G8" s="3" t="inlineStr">
        <is>
          <t>physical equilibrium</t>
        </is>
      </c>
      <c r="H8" s="3" t="n"/>
      <c r="I8" s="5" t="n"/>
      <c r="J8" s="5" t="n"/>
      <c r="K8" s="3">
        <f>IF(J8="","",IF(AND(C8="Pun",J8="Pun"),"TP",IF(AND(C8="Non-pun",J8="Pun"),"FP",IF(AND(C8="Pun",J8="Non-pun"),"FN","TN"))))</f>
        <v/>
      </c>
      <c r="L8" s="3" t="inlineStr">
        <is>
          <t>Check that BERT separates the two senses.</t>
        </is>
      </c>
    </row>
    <row r="9" ht="23.85" customHeight="1">
      <c r="A9" s="3" t="inlineStr">
        <is>
          <t>P08</t>
        </is>
      </c>
      <c r="B9" s="3" t="inlineStr">
        <is>
          <t>I stayed up all night wondering where the sun went, and then it dawned on me.</t>
        </is>
      </c>
      <c r="C9" s="4" t="inlineStr">
        <is>
          <t>Pun</t>
        </is>
      </c>
      <c r="D9" s="3" t="inlineStr">
        <is>
          <t>Homographic pun</t>
        </is>
      </c>
      <c r="E9" s="3" t="inlineStr">
        <is>
          <t>dawned</t>
        </is>
      </c>
      <c r="F9" s="3" t="inlineStr">
        <is>
          <t>daybreak came</t>
        </is>
      </c>
      <c r="G9" s="3" t="inlineStr">
        <is>
          <t>realized</t>
        </is>
      </c>
      <c r="H9" s="3" t="n"/>
      <c r="I9" s="5" t="n"/>
      <c r="J9" s="5" t="n"/>
      <c r="K9" s="3">
        <f>IF(J9="","",IF(AND(C9="Pun",J9="Pun"),"TP",IF(AND(C9="Non-pun",J9="Pun"),"FP",IF(AND(C9="Pun",J9="Non-pun"),"FN","TN"))))</f>
        <v/>
      </c>
      <c r="L9" s="3" t="n"/>
    </row>
    <row r="10" ht="23.85" customHeight="1">
      <c r="A10" s="3" t="inlineStr">
        <is>
          <t>P09</t>
        </is>
      </c>
      <c r="B10" s="3" t="inlineStr">
        <is>
          <t>The tailor was always successful because he knew how to suit everyone.</t>
        </is>
      </c>
      <c r="C10" s="4" t="inlineStr">
        <is>
          <t>Pun</t>
        </is>
      </c>
      <c r="D10" s="3" t="inlineStr">
        <is>
          <t>Homographic pun</t>
        </is>
      </c>
      <c r="E10" s="3" t="inlineStr">
        <is>
          <t>suit</t>
        </is>
      </c>
      <c r="F10" s="3" t="inlineStr">
        <is>
          <t>dress</t>
        </is>
      </c>
      <c r="G10" s="3" t="inlineStr">
        <is>
          <t>satisfy</t>
        </is>
      </c>
      <c r="H10" s="3" t="n"/>
      <c r="I10" s="5" t="n"/>
      <c r="J10" s="5" t="n"/>
      <c r="K10" s="3">
        <f>IF(J10="","",IF(AND(C10="Pun",J10="Pun"),"TP",IF(AND(C10="Non-pun",J10="Pun"),"FP",IF(AND(C10="Pun",J10="Non-pun"),"FN","TN"))))</f>
        <v/>
      </c>
      <c r="L10" s="3" t="n"/>
    </row>
    <row r="11">
      <c r="A11" s="3" t="inlineStr">
        <is>
          <t>P10</t>
        </is>
      </c>
      <c r="B11" s="3" t="inlineStr">
        <is>
          <t>The gardener got promoted because his work really branched out.</t>
        </is>
      </c>
      <c r="C11" s="4" t="inlineStr">
        <is>
          <t>Pun</t>
        </is>
      </c>
      <c r="D11" s="3" t="inlineStr">
        <is>
          <t>Homographic pun</t>
        </is>
      </c>
      <c r="E11" s="3" t="inlineStr">
        <is>
          <t>branched out</t>
        </is>
      </c>
      <c r="F11" s="3" t="inlineStr">
        <is>
          <t>grew branches</t>
        </is>
      </c>
      <c r="G11" s="3" t="inlineStr">
        <is>
          <t>expanded</t>
        </is>
      </c>
      <c r="H11" s="3" t="n"/>
      <c r="I11" s="5" t="n"/>
      <c r="J11" s="5" t="n"/>
      <c r="K11" s="3">
        <f>IF(J11="","",IF(AND(C11="Pun",J11="Pun"),"TP",IF(AND(C11="Non-pun",J11="Pun"),"FP",IF(AND(C11="Pun",J11="Non-pun"),"FN","TN"))))</f>
        <v/>
      </c>
      <c r="L11" s="3" t="n"/>
    </row>
    <row r="12">
      <c r="A12" s="3" t="inlineStr">
        <is>
          <t>P11</t>
        </is>
      </c>
      <c r="B12" s="3" t="inlineStr">
        <is>
          <t>The astronomer's party was a bust; there was no space.</t>
        </is>
      </c>
      <c r="C12" s="4" t="inlineStr">
        <is>
          <t>Pun</t>
        </is>
      </c>
      <c r="D12" s="3" t="inlineStr">
        <is>
          <t>Homographic pun</t>
        </is>
      </c>
      <c r="E12" s="3" t="inlineStr">
        <is>
          <t>space</t>
        </is>
      </c>
      <c r="F12" s="3" t="inlineStr">
        <is>
          <t>outer space</t>
        </is>
      </c>
      <c r="G12" s="3" t="inlineStr">
        <is>
          <t>room</t>
        </is>
      </c>
      <c r="H12" s="3" t="n"/>
      <c r="I12" s="5" t="n"/>
      <c r="J12" s="5" t="n"/>
      <c r="K12" s="3">
        <f>IF(J12="","",IF(AND(C12="Pun",J12="Pun"),"TP",IF(AND(C12="Non-pun",J12="Pun"),"FP",IF(AND(C12="Pun",J12="Non-pun"),"FN","TN"))))</f>
        <v/>
      </c>
      <c r="L12" s="3" t="n"/>
    </row>
    <row r="13">
      <c r="A13" s="3" t="inlineStr">
        <is>
          <t>P12</t>
        </is>
      </c>
      <c r="B13" s="3" t="inlineStr">
        <is>
          <t>The golfer wore two pairs of pants in case he got a hole in one.</t>
        </is>
      </c>
      <c r="C13" s="4" t="inlineStr">
        <is>
          <t>Pun</t>
        </is>
      </c>
      <c r="D13" s="3" t="inlineStr">
        <is>
          <t>Homographic pun</t>
        </is>
      </c>
      <c r="E13" s="3" t="inlineStr">
        <is>
          <t>hole in one</t>
        </is>
      </c>
      <c r="F13" s="3" t="inlineStr">
        <is>
          <t>golf shot</t>
        </is>
      </c>
      <c r="G13" s="3" t="inlineStr">
        <is>
          <t>hole in the pants</t>
        </is>
      </c>
      <c r="H13" s="3" t="n"/>
      <c r="I13" s="5" t="n"/>
      <c r="J13" s="5" t="n"/>
      <c r="K13" s="3">
        <f>IF(J13="","",IF(AND(C13="Pun",J13="Pun"),"TP",IF(AND(C13="Non-pun",J13="Pun"),"FP",IF(AND(C13="Pun",J13="Non-pun"),"FN","TN"))))</f>
        <v/>
      </c>
      <c r="L13" s="3" t="inlineStr">
        <is>
          <t>Phrase-level pun; may be hard for a word-level pipeline.</t>
        </is>
      </c>
    </row>
    <row r="14" ht="23.85" customHeight="1">
      <c r="A14" s="3" t="inlineStr">
        <is>
          <t>P13</t>
        </is>
      </c>
      <c r="B14" s="3" t="inlineStr">
        <is>
          <t>The chicken crossed the road to get to the coop.</t>
        </is>
      </c>
      <c r="C14" s="4" t="inlineStr">
        <is>
          <t>Pun</t>
        </is>
      </c>
      <c r="D14" s="3" t="inlineStr">
        <is>
          <t>Heterographic pun (expected miss)</t>
        </is>
      </c>
      <c r="E14" s="3" t="inlineStr">
        <is>
          <t>coop</t>
        </is>
      </c>
      <c r="F14" s="3" t="inlineStr">
        <is>
          <t>chicken house</t>
        </is>
      </c>
      <c r="G14" s="3" t="inlineStr">
        <is>
          <t>coupe (car)</t>
        </is>
      </c>
      <c r="H14" s="3" t="n"/>
      <c r="I14" s="5" t="n"/>
      <c r="J14" s="5" t="n"/>
      <c r="K14" s="3">
        <f>IF(J14="","",IF(AND(C14="Pun",J14="Pun"),"TP",IF(AND(C14="Non-pun",J14="Pun"),"FP",IF(AND(C14="Pun",J14="Non-pun"),"FN","TN"))))</f>
        <v/>
      </c>
      <c r="L14" s="3" t="inlineStr">
        <is>
          <t>Video example that fails: sounds like "coupe" but spelled differently.</t>
        </is>
      </c>
    </row>
    <row r="15" ht="23.85" customHeight="1">
      <c r="A15" s="3" t="inlineStr">
        <is>
          <t>P14</t>
        </is>
      </c>
      <c r="B15" s="3" t="inlineStr">
        <is>
          <t>I used to be a shoe recycler, but it was sole destroying.</t>
        </is>
      </c>
      <c r="C15" s="4" t="inlineStr">
        <is>
          <t>Pun</t>
        </is>
      </c>
      <c r="D15" s="3" t="inlineStr">
        <is>
          <t>Heterographic pun (expected miss)</t>
        </is>
      </c>
      <c r="E15" s="3" t="inlineStr">
        <is>
          <t>sole</t>
        </is>
      </c>
      <c r="F15" s="3" t="inlineStr">
        <is>
          <t>bottom of a shoe</t>
        </is>
      </c>
      <c r="G15" s="3" t="inlineStr">
        <is>
          <t>soul</t>
        </is>
      </c>
      <c r="H15" s="3" t="n"/>
      <c r="I15" s="5" t="n"/>
      <c r="J15" s="5" t="n"/>
      <c r="K15" s="3">
        <f>IF(J15="","",IF(AND(C15="Pun",J15="Pun"),"TP",IF(AND(C15="Non-pun",J15="Pun"),"FP",IF(AND(C15="Pun",J15="Non-pun"),"FN","TN"))))</f>
        <v/>
      </c>
      <c r="L15" s="3" t="inlineStr">
        <is>
          <t>Sounds like "soul-destroying".</t>
        </is>
      </c>
    </row>
    <row r="16" ht="23.85" customHeight="1">
      <c r="A16" s="3" t="inlineStr">
        <is>
          <t>P15</t>
        </is>
      </c>
      <c r="B16" s="3" t="inlineStr">
        <is>
          <t>The bicycle fell over because it was two tired.</t>
        </is>
      </c>
      <c r="C16" s="4" t="inlineStr">
        <is>
          <t>Pun</t>
        </is>
      </c>
      <c r="D16" s="3" t="inlineStr">
        <is>
          <t>Heterographic pun (expected miss)</t>
        </is>
      </c>
      <c r="E16" s="3" t="inlineStr">
        <is>
          <t>two tired</t>
        </is>
      </c>
      <c r="F16" s="3" t="inlineStr">
        <is>
          <t>two + tired</t>
        </is>
      </c>
      <c r="G16" s="3" t="inlineStr">
        <is>
          <t>too tired</t>
        </is>
      </c>
      <c r="H16" s="3" t="n"/>
      <c r="I16" s="5" t="n"/>
      <c r="J16" s="5" t="n"/>
      <c r="K16" s="3">
        <f>IF(J16="","",IF(AND(C16="Pun",J16="Pun"),"TP",IF(AND(C16="Non-pun",J16="Pun"),"FP",IF(AND(C16="Pun",J16="Non-pun"),"FN","TN"))))</f>
        <v/>
      </c>
      <c r="L16" s="3" t="n"/>
    </row>
    <row r="17">
      <c r="A17" s="3" t="inlineStr">
        <is>
          <t>N01</t>
        </is>
      </c>
      <c r="B17" s="3" t="inlineStr">
        <is>
          <t>I used to be a banker, but I lost my keys.</t>
        </is>
      </c>
      <c r="C17" s="3" t="inlineStr">
        <is>
          <t>Non-pun</t>
        </is>
      </c>
      <c r="D17" s="3" t="inlineStr">
        <is>
          <t>De-punned twin</t>
        </is>
      </c>
      <c r="E17" s="3" t="n"/>
      <c r="F17" s="3" t="n"/>
      <c r="G17" s="3" t="n"/>
      <c r="H17" s="3" t="inlineStr">
        <is>
          <t>P01</t>
        </is>
      </c>
      <c r="I17" s="5" t="n"/>
      <c r="J17" s="5" t="n"/>
      <c r="K17" s="3">
        <f>IF(J17="","",IF(AND(C17="Pun",J17="Pun"),"TP",IF(AND(C17="Non-pun",J17="Pun"),"FP",IF(AND(C17="Pun",J17="Non-pun"),"FN","TN"))))</f>
        <v/>
      </c>
      <c r="L17" s="3" t="inlineStr">
        <is>
          <t>Second reading removed.</t>
        </is>
      </c>
    </row>
    <row r="18">
      <c r="A18" s="3" t="inlineStr">
        <is>
          <t>N02</t>
        </is>
      </c>
      <c r="B18" s="3" t="inlineStr">
        <is>
          <t>Every play in the theater needs a good director.</t>
        </is>
      </c>
      <c r="C18" s="3" t="inlineStr">
        <is>
          <t>Non-pun</t>
        </is>
      </c>
      <c r="D18" s="3" t="inlineStr">
        <is>
          <t>De-punned twin</t>
        </is>
      </c>
      <c r="E18" s="3" t="n"/>
      <c r="F18" s="3" t="n"/>
      <c r="G18" s="3" t="n"/>
      <c r="H18" s="3" t="inlineStr">
        <is>
          <t>P02</t>
        </is>
      </c>
      <c r="I18" s="5" t="n"/>
      <c r="J18" s="5" t="n"/>
      <c r="K18" s="3">
        <f>IF(J18="","",IF(AND(C18="Pun",J18="Pun"),"TP",IF(AND(C18="Non-pun",J18="Pun"),"FP",IF(AND(C18="Pun",J18="Non-pun"),"FN","TN"))))</f>
        <v/>
      </c>
      <c r="L18" s="3" t="n"/>
    </row>
    <row r="19">
      <c r="A19" s="3" t="inlineStr">
        <is>
          <t>N03</t>
        </is>
      </c>
      <c r="B19" s="3" t="inlineStr">
        <is>
          <t>I wouldn't buy anything with velcro; it wears out quickly.</t>
        </is>
      </c>
      <c r="C19" s="3" t="inlineStr">
        <is>
          <t>Non-pun</t>
        </is>
      </c>
      <c r="D19" s="3" t="inlineStr">
        <is>
          <t>De-punned twin</t>
        </is>
      </c>
      <c r="E19" s="3" t="n"/>
      <c r="F19" s="3" t="n"/>
      <c r="G19" s="3" t="n"/>
      <c r="H19" s="3" t="inlineStr">
        <is>
          <t>P03</t>
        </is>
      </c>
      <c r="I19" s="5" t="n"/>
      <c r="J19" s="5" t="n"/>
      <c r="K19" s="3">
        <f>IF(J19="","",IF(AND(C19="Pun",J19="Pun"),"TP",IF(AND(C19="Non-pun",J19="Pun"),"FP",IF(AND(C19="Pun",J19="Non-pun"),"FN","TN"))))</f>
        <v/>
      </c>
      <c r="L19" s="3" t="n"/>
    </row>
    <row r="20" ht="23.85" customHeight="1">
      <c r="A20" s="3" t="inlineStr">
        <is>
          <t>N04</t>
        </is>
      </c>
      <c r="B20" s="3" t="inlineStr">
        <is>
          <t>The scarecrow won an award because he was standing in the middle of the field.</t>
        </is>
      </c>
      <c r="C20" s="3" t="inlineStr">
        <is>
          <t>Non-pun</t>
        </is>
      </c>
      <c r="D20" s="3" t="inlineStr">
        <is>
          <t>De-punned twin</t>
        </is>
      </c>
      <c r="E20" s="3" t="n"/>
      <c r="F20" s="3" t="n"/>
      <c r="G20" s="3" t="n"/>
      <c r="H20" s="3" t="inlineStr">
        <is>
          <t>P04</t>
        </is>
      </c>
      <c r="I20" s="5" t="n"/>
      <c r="J20" s="5" t="n"/>
      <c r="K20" s="3">
        <f>IF(J20="","",IF(AND(C20="Pun",J20="Pun"),"TP",IF(AND(C20="Non-pun",J20="Pun"),"FP",IF(AND(C20="Pun",J20="Non-pun"),"FN","TN"))))</f>
        <v/>
      </c>
      <c r="L20" s="3" t="inlineStr">
        <is>
          <t>"Field" has only one supported sense.</t>
        </is>
      </c>
    </row>
    <row r="21">
      <c r="A21" s="3" t="inlineStr">
        <is>
          <t>N05</t>
        </is>
      </c>
      <c r="B21" s="3" t="inlineStr">
        <is>
          <t>I couldn't figure out how the seat belt worked, so I read the manual.</t>
        </is>
      </c>
      <c r="C21" s="3" t="inlineStr">
        <is>
          <t>Non-pun</t>
        </is>
      </c>
      <c r="D21" s="3" t="inlineStr">
        <is>
          <t>De-punned twin</t>
        </is>
      </c>
      <c r="E21" s="3" t="n"/>
      <c r="F21" s="3" t="n"/>
      <c r="G21" s="3" t="n"/>
      <c r="H21" s="3" t="inlineStr">
        <is>
          <t>P05</t>
        </is>
      </c>
      <c r="I21" s="5" t="n"/>
      <c r="J21" s="5" t="n"/>
      <c r="K21" s="3">
        <f>IF(J21="","",IF(AND(C21="Pun",J21="Pun"),"TP",IF(AND(C21="Non-pun",J21="Pun"),"FP",IF(AND(C21="Pun",J21="Non-pun"),"FN","TN"))))</f>
        <v/>
      </c>
      <c r="L21" s="3" t="n"/>
    </row>
    <row r="22" ht="23.85" customHeight="1">
      <c r="A22" s="3" t="inlineStr">
        <is>
          <t>N06</t>
        </is>
      </c>
      <c r="B22" s="3" t="inlineStr">
        <is>
          <t>I stayed up all night wondering where the sun went, and then morning came.</t>
        </is>
      </c>
      <c r="C22" s="3" t="inlineStr">
        <is>
          <t>Non-pun</t>
        </is>
      </c>
      <c r="D22" s="3" t="inlineStr">
        <is>
          <t>De-punned twin</t>
        </is>
      </c>
      <c r="E22" s="3" t="n"/>
      <c r="F22" s="3" t="n"/>
      <c r="G22" s="3" t="n"/>
      <c r="H22" s="3" t="inlineStr">
        <is>
          <t>P08</t>
        </is>
      </c>
      <c r="I22" s="5" t="n"/>
      <c r="J22" s="5" t="n"/>
      <c r="K22" s="3">
        <f>IF(J22="","",IF(AND(C22="Pun",J22="Pun"),"TP",IF(AND(C22="Non-pun",J22="Pun"),"FP",IF(AND(C22="Pun",J22="Non-pun"),"FN","TN"))))</f>
        <v/>
      </c>
      <c r="L22" s="3" t="n"/>
    </row>
    <row r="23" ht="23.85" customHeight="1">
      <c r="A23" s="3" t="inlineStr">
        <is>
          <t>N07</t>
        </is>
      </c>
      <c r="B23" s="3" t="inlineStr">
        <is>
          <t>The tailor was always successful because he knew how to sew every kind of suit.</t>
        </is>
      </c>
      <c r="C23" s="3" t="inlineStr">
        <is>
          <t>Non-pun</t>
        </is>
      </c>
      <c r="D23" s="3" t="inlineStr">
        <is>
          <t>De-punned twin</t>
        </is>
      </c>
      <c r="E23" s="3" t="n"/>
      <c r="F23" s="3" t="n"/>
      <c r="G23" s="3" t="n"/>
      <c r="H23" s="3" t="inlineStr">
        <is>
          <t>P09</t>
        </is>
      </c>
      <c r="I23" s="5" t="n"/>
      <c r="J23" s="5" t="n"/>
      <c r="K23" s="3">
        <f>IF(J23="","",IF(AND(C23="Pun",J23="Pun"),"TP",IF(AND(C23="Non-pun",J23="Pun"),"FP",IF(AND(C23="Pun",J23="Non-pun"),"FN","TN"))))</f>
        <v/>
      </c>
      <c r="L23" s="3" t="inlineStr">
        <is>
          <t>"Suit" has only one supported sense.</t>
        </is>
      </c>
    </row>
    <row r="24" ht="23.85" customHeight="1">
      <c r="A24" s="3" t="inlineStr">
        <is>
          <t>N08</t>
        </is>
      </c>
      <c r="B24" s="3" t="inlineStr">
        <is>
          <t>The gardener got promoted because his work really impressed the manager.</t>
        </is>
      </c>
      <c r="C24" s="3" t="inlineStr">
        <is>
          <t>Non-pun</t>
        </is>
      </c>
      <c r="D24" s="3" t="inlineStr">
        <is>
          <t>De-punned twin</t>
        </is>
      </c>
      <c r="E24" s="3" t="n"/>
      <c r="F24" s="3" t="n"/>
      <c r="G24" s="3" t="n"/>
      <c r="H24" s="3" t="inlineStr">
        <is>
          <t>P10</t>
        </is>
      </c>
      <c r="I24" s="5" t="n"/>
      <c r="J24" s="5" t="n"/>
      <c r="K24" s="3">
        <f>IF(J24="","",IF(AND(C24="Pun",J24="Pun"),"TP",IF(AND(C24="Non-pun",J24="Pun"),"FP",IF(AND(C24="Pun",J24="Non-pun"),"FN","TN"))))</f>
        <v/>
      </c>
      <c r="L24" s="3" t="n"/>
    </row>
    <row r="25">
      <c r="A25" s="3" t="inlineStr">
        <is>
          <t>N09</t>
        </is>
      </c>
      <c r="B25" s="3" t="inlineStr">
        <is>
          <t>The chicken crossed the road to get to the farm.</t>
        </is>
      </c>
      <c r="C25" s="3" t="inlineStr">
        <is>
          <t>Non-pun</t>
        </is>
      </c>
      <c r="D25" s="3" t="inlineStr">
        <is>
          <t>De-punned twin</t>
        </is>
      </c>
      <c r="E25" s="3" t="n"/>
      <c r="F25" s="3" t="n"/>
      <c r="G25" s="3" t="n"/>
      <c r="H25" s="3" t="inlineStr">
        <is>
          <t>P13</t>
        </is>
      </c>
      <c r="I25" s="5" t="n"/>
      <c r="J25" s="5" t="n"/>
      <c r="K25" s="3">
        <f>IF(J25="","",IF(AND(C25="Pun",J25="Pun"),"TP",IF(AND(C25="Non-pun",J25="Pun"),"FP",IF(AND(C25="Pun",J25="Non-pun"),"FN","TN"))))</f>
        <v/>
      </c>
      <c r="L25" s="3" t="n"/>
    </row>
    <row r="26">
      <c r="A26" s="3" t="inlineStr">
        <is>
          <t>N10</t>
        </is>
      </c>
      <c r="B26" s="3" t="inlineStr">
        <is>
          <t>I went to the bank.</t>
        </is>
      </c>
      <c r="C26" s="3" t="inlineStr">
        <is>
          <t>Non-pun</t>
        </is>
      </c>
      <c r="D26" s="3" t="inlineStr">
        <is>
          <t>Ambiguous, not funny</t>
        </is>
      </c>
      <c r="E26" s="3" t="inlineStr">
        <is>
          <t>bank</t>
        </is>
      </c>
      <c r="F26" s="3" t="inlineStr">
        <is>
          <t>money</t>
        </is>
      </c>
      <c r="G26" s="3" t="inlineStr">
        <is>
          <t>river edge</t>
        </is>
      </c>
      <c r="H26" s="3" t="n"/>
      <c r="I26" s="5" t="n"/>
      <c r="J26" s="5" t="n"/>
      <c r="K26" s="3">
        <f>IF(J26="","",IF(AND(C26="Pun",J26="Pun"),"TP",IF(AND(C26="Non-pun",J26="Pun"),"FP",IF(AND(C26="Pun",J26="Non-pun"),"FN","TN"))))</f>
        <v/>
      </c>
      <c r="L26" s="3" t="inlineStr">
        <is>
          <t>Kao et al. example: ambiguous but not a pun.</t>
        </is>
      </c>
    </row>
    <row r="27">
      <c r="A27" s="3" t="inlineStr">
        <is>
          <t>N11</t>
        </is>
      </c>
      <c r="B27" s="3" t="inlineStr">
        <is>
          <t>He walked along the bank after lunch.</t>
        </is>
      </c>
      <c r="C27" s="3" t="inlineStr">
        <is>
          <t>Non-pun</t>
        </is>
      </c>
      <c r="D27" s="3" t="inlineStr">
        <is>
          <t>Ambiguous, not funny</t>
        </is>
      </c>
      <c r="E27" s="3" t="inlineStr">
        <is>
          <t>bank</t>
        </is>
      </c>
      <c r="F27" s="3" t="inlineStr">
        <is>
          <t>river edge</t>
        </is>
      </c>
      <c r="G27" s="3" t="inlineStr">
        <is>
          <t>money</t>
        </is>
      </c>
      <c r="H27" s="3" t="n"/>
      <c r="I27" s="5" t="n"/>
      <c r="J27" s="5" t="n"/>
      <c r="K27" s="3">
        <f>IF(J27="","",IF(AND(C27="Pun",J27="Pun"),"TP",IF(AND(C27="Non-pun",J27="Pun"),"FP",IF(AND(C27="Pun",J27="Non-pun"),"FN","TN"))))</f>
        <v/>
      </c>
      <c r="L27" s="3" t="inlineStr">
        <is>
          <t>Only one sense supported by context.</t>
        </is>
      </c>
    </row>
    <row r="28">
      <c r="A28" s="3" t="inlineStr">
        <is>
          <t>N12</t>
        </is>
      </c>
      <c r="B28" s="3" t="inlineStr">
        <is>
          <t>The bat flew out of the cave at dusk.</t>
        </is>
      </c>
      <c r="C28" s="3" t="inlineStr">
        <is>
          <t>Non-pun</t>
        </is>
      </c>
      <c r="D28" s="3" t="inlineStr">
        <is>
          <t>Ambiguous, not funny</t>
        </is>
      </c>
      <c r="E28" s="3" t="inlineStr">
        <is>
          <t>bat</t>
        </is>
      </c>
      <c r="F28" s="3" t="inlineStr">
        <is>
          <t>animal</t>
        </is>
      </c>
      <c r="G28" s="3" t="inlineStr">
        <is>
          <t>sports equipment</t>
        </is>
      </c>
      <c r="H28" s="3" t="n"/>
      <c r="I28" s="5" t="n"/>
      <c r="J28" s="5" t="n"/>
      <c r="K28" s="3">
        <f>IF(J28="","",IF(AND(C28="Pun",J28="Pun"),"TP",IF(AND(C28="Non-pun",J28="Pun"),"FP",IF(AND(C28="Pun",J28="Non-pun"),"FN","TN"))))</f>
        <v/>
      </c>
      <c r="L28" s="3" t="inlineStr">
        <is>
          <t>Only one sense supported by context.</t>
        </is>
      </c>
    </row>
    <row r="29">
      <c r="A29" s="3" t="inlineStr">
        <is>
          <t>N13</t>
        </is>
      </c>
      <c r="B29" s="3" t="inlineStr">
        <is>
          <t>The committee will meet on Thursday to review the budget.</t>
        </is>
      </c>
      <c r="C29" s="3" t="inlineStr">
        <is>
          <t>Non-pun</t>
        </is>
      </c>
      <c r="D29" s="3" t="inlineStr">
        <is>
          <t>Plain sentence</t>
        </is>
      </c>
      <c r="E29" s="3" t="n"/>
      <c r="F29" s="3" t="n"/>
      <c r="G29" s="3" t="n"/>
      <c r="H29" s="3" t="n"/>
      <c r="I29" s="5" t="n"/>
      <c r="J29" s="5" t="n"/>
      <c r="K29" s="3">
        <f>IF(J29="","",IF(AND(C29="Pun",J29="Pun"),"TP",IF(AND(C29="Non-pun",J29="Pun"),"FP",IF(AND(C29="Pun",J29="Non-pun"),"FN","TN"))))</f>
        <v/>
      </c>
      <c r="L29" s="3" t="n"/>
    </row>
    <row r="30">
      <c r="A30" s="3" t="inlineStr">
        <is>
          <t>N14</t>
        </is>
      </c>
      <c r="B30" s="3" t="inlineStr">
        <is>
          <t>Please send the report before the end of the day.</t>
        </is>
      </c>
      <c r="C30" s="3" t="inlineStr">
        <is>
          <t>Non-pun</t>
        </is>
      </c>
      <c r="D30" s="3" t="inlineStr">
        <is>
          <t>Plain sentence</t>
        </is>
      </c>
      <c r="E30" s="3" t="n"/>
      <c r="F30" s="3" t="n"/>
      <c r="G30" s="3" t="n"/>
      <c r="H30" s="3" t="n"/>
      <c r="I30" s="5" t="n"/>
      <c r="J30" s="5" t="n"/>
      <c r="K30" s="3">
        <f>IF(J30="","",IF(AND(C30="Pun",J30="Pun"),"TP",IF(AND(C30="Non-pun",J30="Pun"),"FP",IF(AND(C30="Pun",J30="Non-pun"),"FN","TN"))))</f>
        <v/>
      </c>
      <c r="L30" s="3" t="n"/>
    </row>
    <row r="31">
      <c r="A31" s="3" t="inlineStr">
        <is>
          <t>N15</t>
        </is>
      </c>
      <c r="B31" s="3" t="inlineStr">
        <is>
          <t>The train to Orlando leaves at nine.</t>
        </is>
      </c>
      <c r="C31" s="3" t="inlineStr">
        <is>
          <t>Non-pun</t>
        </is>
      </c>
      <c r="D31" s="3" t="inlineStr">
        <is>
          <t>Plain sentence</t>
        </is>
      </c>
      <c r="E31" s="3" t="n"/>
      <c r="F31" s="3" t="n"/>
      <c r="G31" s="3" t="n"/>
      <c r="H31" s="3" t="n"/>
      <c r="I31" s="5" t="n"/>
      <c r="J31" s="5" t="n"/>
      <c r="K31" s="3">
        <f>IF(J31="","",IF(AND(C31="Pun",J31="Pun"),"TP",IF(AND(C31="Non-pun",J31="Pun"),"FP",IF(AND(C31="Pun",J31="Non-pun"),"FN","TN"))))</f>
        <v/>
      </c>
      <c r="L31" s="3" t="n"/>
    </row>
    <row r="32">
      <c r="A32" s="3" t="inlineStr">
        <is>
          <t>P16</t>
        </is>
      </c>
      <c r="B32" s="3" t="inlineStr">
        <is>
          <t>I don't enjoy computer puns one bit.</t>
        </is>
      </c>
      <c r="C32" s="3" t="inlineStr">
        <is>
          <t>Pun</t>
        </is>
      </c>
      <c r="D32" s="3" t="inlineStr">
        <is>
          <t>Homographic pun</t>
        </is>
      </c>
      <c r="E32" s="3" t="inlineStr">
        <is>
          <t>bit</t>
        </is>
      </c>
      <c r="F32" s="3" t="inlineStr">
        <is>
          <t>binary digit</t>
        </is>
      </c>
      <c r="G32" s="3" t="inlineStr">
        <is>
          <t>the smallest amount (not at all)</t>
        </is>
      </c>
      <c r="H32" s="3" t="n"/>
      <c r="I32" s="5" t="n"/>
      <c r="J32" s="5" t="n"/>
      <c r="K32" s="3">
        <f>IF(J32="","",IF(AND(C32="Pun",J32="Pun"),"TP",IF(AND(C32="Non-pun",J32="Pun"),"FP",IF(AND(C32="Pun",J32="Non-pun"),"FN","TN"))))</f>
        <v/>
      </c>
      <c r="L32" s="3" t="inlineStr">
        <is>
          <t>Added Oct 16. Stages 1-2 call it a pun for the wrong reason: they pick 'computer', not 'bit', and also flag its twin N16.</t>
        </is>
      </c>
    </row>
    <row r="33">
      <c r="A33" s="3" t="inlineStr">
        <is>
          <t>N16</t>
        </is>
      </c>
      <c r="B33" s="3" t="inlineStr">
        <is>
          <t>I don't enjoy computer puns at all.</t>
        </is>
      </c>
      <c r="C33" s="3" t="inlineStr">
        <is>
          <t>Non-pun</t>
        </is>
      </c>
      <c r="D33" s="3" t="inlineStr">
        <is>
          <t>De-punned twin</t>
        </is>
      </c>
      <c r="E33" s="3" t="n"/>
      <c r="F33" s="3" t="n"/>
      <c r="G33" s="3" t="n"/>
      <c r="H33" s="3" t="inlineStr">
        <is>
          <t>P16</t>
        </is>
      </c>
      <c r="I33" s="5" t="n"/>
      <c r="J33" s="5" t="n"/>
      <c r="K33" s="3">
        <f>IF(J33="","",IF(AND(C33="Pun",J33="Pun"),"TP",IF(AND(C33="Non-pun",J33="Pun"),"FP",IF(AND(C33="Pun",J33="Non-pun"),"FN","TN"))))</f>
        <v/>
      </c>
      <c r="L33" s="3" t="inlineStr">
        <is>
          <t>Second reading removed ('one bit' becomes 'at all').</t>
        </is>
      </c>
    </row>
  </sheetData>
  <dataValidations count="1">
    <dataValidation sqref="I2:J33" showDropDown="0" showInputMessage="0" showErrorMessage="0" allowBlank="1" type="list">
      <formula1>"Pun,Non-pun"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zoomScaleNormal="100" workbookViewId="0">
      <selection activeCell="A1" sqref="A1"/>
    </sheetView>
  </sheetViews>
  <sheetFormatPr baseColWidth="8" defaultColWidth="8.7109375" defaultRowHeight="15"/>
  <cols>
    <col width="62" customWidth="1" min="1" max="1"/>
    <col width="18" customWidth="1" min="2" max="2"/>
  </cols>
  <sheetData>
    <row r="1">
      <c r="A1" s="6" t="inlineStr">
        <is>
          <t>Pun detection results (fill the yellow cells on the Test Set tab)</t>
        </is>
      </c>
    </row>
    <row r="2"/>
    <row r="3">
      <c r="A3" s="7" t="inlineStr">
        <is>
          <t>True positives (puns caught)</t>
        </is>
      </c>
      <c r="B3" s="7">
        <f>COUNTIF('Test Set'!K2:K33,"TP")</f>
        <v/>
      </c>
    </row>
    <row r="4">
      <c r="A4" s="7" t="inlineStr">
        <is>
          <t>False positives (non-puns flagged as puns)</t>
        </is>
      </c>
      <c r="B4" s="7">
        <f>COUNTIF('Test Set'!K2:K33,"FP")</f>
        <v/>
      </c>
    </row>
    <row r="5">
      <c r="A5" s="7" t="inlineStr">
        <is>
          <t>False negatives (puns missed)</t>
        </is>
      </c>
      <c r="B5" s="7">
        <f>COUNTIF('Test Set'!K2:K33,"FN")</f>
        <v/>
      </c>
    </row>
    <row r="6">
      <c r="A6" s="7" t="inlineStr">
        <is>
          <t>True negatives (non-puns correctly rejected)</t>
        </is>
      </c>
      <c r="B6" s="7">
        <f>COUNTIF('Test Set'!K2:K33,"TN")</f>
        <v/>
      </c>
    </row>
    <row r="7">
      <c r="A7" s="7" t="n"/>
      <c r="B7" s="7" t="n"/>
    </row>
    <row r="8">
      <c r="A8" s="7" t="inlineStr">
        <is>
          <t>Precision</t>
        </is>
      </c>
      <c r="B8" s="8">
        <f>IF(B3+B4=0,"n/a",B3/(B3+B4))</f>
        <v/>
      </c>
    </row>
    <row r="9">
      <c r="A9" s="7" t="inlineStr">
        <is>
          <t>Recall</t>
        </is>
      </c>
      <c r="B9" s="8">
        <f>IF(B3+B5=0,"n/a",B3/(B3+B5))</f>
        <v/>
      </c>
    </row>
    <row r="10">
      <c r="A10" s="7" t="inlineStr">
        <is>
          <t>F1</t>
        </is>
      </c>
      <c r="B10" s="8">
        <f>IF(OR(B8="n/a",B9="n/a"),"n/a",IF(B8+B9=0,0,2*B8*B9/(B8+B9)))</f>
        <v/>
      </c>
    </row>
    <row r="11">
      <c r="A11" s="7" t="inlineStr">
        <is>
          <t>Items run so far</t>
        </is>
      </c>
      <c r="B11" s="7">
        <f>SUM(B3:B6)</f>
        <v/>
      </c>
    </row>
    <row r="12">
      <c r="A12" s="7" t="n"/>
      <c r="B12" s="7" t="n"/>
    </row>
    <row r="13">
      <c r="A13" s="7" t="inlineStr">
        <is>
          <t>Homographic puns only: recall</t>
        </is>
      </c>
      <c r="B13" s="8">
        <f>IFERROR(COUNTIFS('Test Set'!D2:D33,"Homographic pun",'Test Set'!K2:K33,"TP")/COUNTIFS('Test Set'!D2:D33,"Homographic pun",'Test Set'!J2:J33,"&lt;&gt;"),"n/a")</f>
        <v/>
      </c>
    </row>
    <row r="14">
      <c r="A14" s="7" t="inlineStr">
        <is>
          <t>Heterographic puns only: recall (expected low)</t>
        </is>
      </c>
      <c r="B14" s="8">
        <f>IFERROR(COUNTIFS('Test Set'!D2:D33,"Heterographic*",'Test Set'!K2:K33,"TP")/COUNTIFS('Test Set'!D2:D33,"Heterographic*",'Test Set'!J2:J33,"&lt;&gt;"),"n/a")</f>
        <v/>
      </c>
    </row>
    <row r="15">
      <c r="A15" s="7" t="n"/>
      <c r="B15" s="7" t="n"/>
    </row>
    <row r="16">
      <c r="A16" s="7" t="inlineStr">
        <is>
          <t>Labeler agreement (second labeler vs ground truth)</t>
        </is>
      </c>
      <c r="B16" s="8">
        <f>IFERROR(SUMPRODUCT(('Test Set'!I2:I33&lt;&gt;"")*('Test Set'!I2:I33='Test Set'!C2:C33))/COUNTA('Test Set'!I2:I33),"n/a")</f>
        <v/>
      </c>
    </row>
    <row r="17"/>
    <row r="18">
      <c r="A18" s="9" t="inlineStr">
        <is>
          <t>How to use</t>
        </is>
      </c>
    </row>
    <row r="19" ht="30" customHeight="1">
      <c r="A19" s="7" t="inlineStr">
        <is>
          <t>1. Ask a teammate to fill column I (Second labeler) without looking at column C. Where they disagree, discuss and fix the label before running the pipeline.</t>
        </is>
      </c>
    </row>
    <row r="20" ht="30" customHeight="1">
      <c r="A20" s="7" t="inlineStr">
        <is>
          <t>2. Run each sentence through the pipeline and enter Pun or Non-pun in column J. Column K then scores itself.</t>
        </is>
      </c>
    </row>
    <row r="21" ht="30" customHeight="1">
      <c r="A21" s="7" t="inlineStr">
        <is>
          <t>3. Counts are small (16 + 16), so one error moves a rate by about 6 points. Report the raw counts alongside the percentages.</t>
        </is>
      </c>
    </row>
    <row r="22" ht="30" customHeight="1">
      <c r="A22" s="7" t="inlineStr">
        <is>
          <t>4. P13 to P15 are heterographic and are expected to be missed; that is the known limitation, not a bug.</t>
        </is>
      </c>
    </row>
    <row r="23" ht="30" customHeight="1">
      <c r="A23" s="7" t="inlineStr">
        <is>
          <t>5. All sentences, senses and labels are a first draft by the team and should be reviewed. Twin sentences are rewritten so only one sense is supported.</t>
        </is>
      </c>
    </row>
  </sheetData>
  <mergeCells count="5">
    <mergeCell ref="A20:B20"/>
    <mergeCell ref="A21:B21"/>
    <mergeCell ref="A19:B19"/>
    <mergeCell ref="A23:B23"/>
    <mergeCell ref="A22:B2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Normal="100" workbookViewId="0">
      <pane xSplit="3" ySplit="1" topLeftCell="D2" activePane="bottomRight" state="frozen"/>
      <selection pane="bottomRight" activeCell="A1" sqref="A1"/>
      <selection pane="bottomLeft" activeCell="A2" sqref="A2"/>
      <selection pane="topRight" activeCell="D1" sqref="D1"/>
    </sheetView>
  </sheetViews>
  <sheetFormatPr baseColWidth="8" defaultColWidth="8.7109375" defaultRowHeight="15"/>
  <cols>
    <col width="7" customWidth="1" min="1" max="1"/>
    <col width="8" customWidth="1" min="2" max="2"/>
    <col width="50" customWidth="1" min="3" max="3"/>
    <col width="14" customWidth="1" min="4" max="4"/>
    <col width="16" customWidth="1" min="5" max="5"/>
    <col width="14" customWidth="1" min="6" max="6"/>
    <col width="16" customWidth="1" min="7" max="7"/>
    <col width="11" customWidth="1" min="8" max="8"/>
    <col width="13" customWidth="1" min="9" max="9"/>
    <col width="14" customWidth="1" min="10" max="10"/>
    <col width="60" customWidth="1" min="11" max="11"/>
  </cols>
  <sheetData>
    <row r="1" ht="42" customHeight="1">
      <c r="A1" s="2" t="inlineStr">
        <is>
          <t>QID</t>
        </is>
      </c>
      <c r="B1" s="2" t="inlineStr">
        <is>
          <t>Pun ID</t>
        </is>
      </c>
      <c r="C1" s="2" t="inlineStr">
        <is>
          <t>Question to the chatbot</t>
        </is>
      </c>
      <c r="D1" s="2" t="inlineStr">
        <is>
          <t>Rater 1 Accuracy (0-5)</t>
        </is>
      </c>
      <c r="E1" s="2" t="inlineStr">
        <is>
          <t>Rater 1 Completeness (0-5)</t>
        </is>
      </c>
      <c r="F1" s="2" t="inlineStr">
        <is>
          <t>Rater 2 Accuracy (0-5)</t>
        </is>
      </c>
      <c r="G1" s="2" t="inlineStr">
        <is>
          <t>Rater 2 Completeness (0-5)</t>
        </is>
      </c>
      <c r="H1" s="2" t="inlineStr">
        <is>
          <t>Avg Accuracy</t>
        </is>
      </c>
      <c r="I1" s="2" t="inlineStr">
        <is>
          <t>Avg Completeness</t>
        </is>
      </c>
      <c r="J1" s="2" t="inlineStr">
        <is>
          <t>Good? (both avg &gt;= 4)</t>
        </is>
      </c>
      <c r="K1" s="2" t="inlineStr">
        <is>
          <t>What a complete answer covers</t>
        </is>
      </c>
    </row>
    <row r="2" ht="23.85" customHeight="1">
      <c r="A2" s="3" t="inlineStr">
        <is>
          <t>Q01</t>
        </is>
      </c>
      <c r="B2" s="3" t="inlineStr">
        <is>
          <t>P01</t>
        </is>
      </c>
      <c r="C2" s="3" t="inlineStr">
        <is>
          <t>Why is it a joke or a pun?</t>
        </is>
      </c>
      <c r="D2" s="5" t="n"/>
      <c r="E2" s="5" t="n"/>
      <c r="F2" s="5" t="n"/>
      <c r="G2" s="5" t="n"/>
      <c r="H2" s="10">
        <f>IF(COUNT(D2,F2)=0,"",AVERAGE(D2,F2))</f>
        <v/>
      </c>
      <c r="I2" s="10">
        <f>IF(COUNT(E2,G2)=0,"",AVERAGE(E2,G2))</f>
        <v/>
      </c>
      <c r="J2" s="3">
        <f>IF(OR(H2="",I2=""),"",IF(AND(H2&gt;=4,I2&gt;=4),"Good","Poor"))</f>
        <v/>
      </c>
      <c r="K2" s="3" t="inlineStr">
        <is>
          <t>Both senses of "interest" (money earned, curiosity), and that "banker" and "lost" each trigger a different one.</t>
        </is>
      </c>
    </row>
    <row r="3">
      <c r="A3" s="3" t="inlineStr">
        <is>
          <t>Q02</t>
        </is>
      </c>
      <c r="B3" s="3" t="inlineStr">
        <is>
          <t>P01</t>
        </is>
      </c>
      <c r="C3" s="3" t="inlineStr">
        <is>
          <t>What are the two meanings of "interest" here?</t>
        </is>
      </c>
      <c r="D3" s="5" t="n"/>
      <c r="E3" s="5" t="n"/>
      <c r="F3" s="5" t="n"/>
      <c r="G3" s="5" t="n"/>
      <c r="H3" s="10">
        <f>IF(COUNT(D3,F3)=0,"",AVERAGE(D3,F3))</f>
        <v/>
      </c>
      <c r="I3" s="10">
        <f>IF(COUNT(E3,G3)=0,"",AVERAGE(E3,G3))</f>
        <v/>
      </c>
      <c r="J3" s="3">
        <f>IF(OR(H3="",I3=""),"",IF(AND(H3&gt;=4,I3&gt;=4),"Good","Poor"))</f>
        <v/>
      </c>
      <c r="K3" s="3" t="inlineStr">
        <is>
          <t>Financial sense and attention sense, tied to the sentence.</t>
        </is>
      </c>
    </row>
    <row r="4">
      <c r="A4" s="3" t="inlineStr">
        <is>
          <t>Q03</t>
        </is>
      </c>
      <c r="B4" s="3" t="inlineStr">
        <is>
          <t>P01</t>
        </is>
      </c>
      <c r="C4" s="3" t="inlineStr">
        <is>
          <t>Which words in the sentence point to each meaning?</t>
        </is>
      </c>
      <c r="D4" s="5" t="n"/>
      <c r="E4" s="5" t="n"/>
      <c r="F4" s="5" t="n"/>
      <c r="G4" s="5" t="n"/>
      <c r="H4" s="10">
        <f>IF(COUNT(D4,F4)=0,"",AVERAGE(D4,F4))</f>
        <v/>
      </c>
      <c r="I4" s="10">
        <f>IF(COUNT(E4,G4)=0,"",AVERAGE(E4,G4))</f>
        <v/>
      </c>
      <c r="J4" s="3">
        <f>IF(OR(H4="",I4=""),"",IF(AND(H4&gt;=4,I4&gt;=4),"Good","Poor"))</f>
        <v/>
      </c>
      <c r="K4" s="3" t="inlineStr">
        <is>
          <t>"banker" for money; "lost" with "interest" for curiosity.</t>
        </is>
      </c>
    </row>
    <row r="5">
      <c r="A5" s="3" t="inlineStr">
        <is>
          <t>Q04</t>
        </is>
      </c>
      <c r="B5" s="3" t="inlineStr">
        <is>
          <t>P01</t>
        </is>
      </c>
      <c r="C5" s="3" t="inlineStr">
        <is>
          <t>Explain this joke like I am ten years old.</t>
        </is>
      </c>
      <c r="D5" s="5" t="n"/>
      <c r="E5" s="5" t="n"/>
      <c r="F5" s="5" t="n"/>
      <c r="G5" s="5" t="n"/>
      <c r="H5" s="10">
        <f>IF(COUNT(D5,F5)=0,"",AVERAGE(D5,F5))</f>
        <v/>
      </c>
      <c r="I5" s="10">
        <f>IF(COUNT(E5,G5)=0,"",AVERAGE(E5,G5))</f>
        <v/>
      </c>
      <c r="J5" s="3">
        <f>IF(OR(H5="",I5=""),"",IF(AND(H5&gt;=4,I5&gt;=4),"Good","Poor"))</f>
        <v/>
      </c>
      <c r="K5" s="3" t="inlineStr">
        <is>
          <t>Plain-language version that still names both meanings.</t>
        </is>
      </c>
    </row>
    <row r="6" ht="23.85" customHeight="1">
      <c r="A6" s="3" t="inlineStr">
        <is>
          <t>Q05</t>
        </is>
      </c>
      <c r="B6" s="3" t="inlineStr">
        <is>
          <t>P01</t>
        </is>
      </c>
      <c r="C6" s="3" t="inlineStr">
        <is>
          <t>Would the joke still work if "interest" were replaced with "enthusiasm"?</t>
        </is>
      </c>
      <c r="D6" s="5" t="n"/>
      <c r="E6" s="5" t="n"/>
      <c r="F6" s="5" t="n"/>
      <c r="G6" s="5" t="n"/>
      <c r="H6" s="10">
        <f>IF(COUNT(D6,F6)=0,"",AVERAGE(D6,F6))</f>
        <v/>
      </c>
      <c r="I6" s="10">
        <f>IF(COUNT(E6,G6)=0,"",AVERAGE(E6,G6))</f>
        <v/>
      </c>
      <c r="J6" s="3">
        <f>IF(OR(H6="",I6=""),"",IF(AND(H6&gt;=4,I6&gt;=4),"Good","Poor"))</f>
        <v/>
      </c>
      <c r="K6" s="3" t="inlineStr">
        <is>
          <t>No: the financial reading disappears, so only one sense remains.</t>
        </is>
      </c>
    </row>
    <row r="7">
      <c r="A7" s="3" t="inlineStr">
        <is>
          <t>Q06</t>
        </is>
      </c>
      <c r="B7" s="3" t="inlineStr">
        <is>
          <t>P02</t>
        </is>
      </c>
      <c r="C7" s="3" t="inlineStr">
        <is>
          <t>Is this a pun, and what is the wordplay?</t>
        </is>
      </c>
      <c r="D7" s="5" t="n"/>
      <c r="E7" s="5" t="n"/>
      <c r="F7" s="5" t="n"/>
      <c r="G7" s="5" t="n"/>
      <c r="H7" s="10">
        <f>IF(COUNT(D7,F7)=0,"",AVERAGE(D7,F7))</f>
        <v/>
      </c>
      <c r="I7" s="10">
        <f>IF(COUNT(E7,G7)=0,"",AVERAGE(E7,G7))</f>
        <v/>
      </c>
      <c r="J7" s="3">
        <f>IF(OR(H7="",I7=""),"",IF(AND(H7&gt;=4,I7&gt;=4),"Good","Poor"))</f>
        <v/>
      </c>
      <c r="K7" s="3" t="inlineStr">
        <is>
          <t>Yes; "cast" as the actors versus a plaster cast.</t>
        </is>
      </c>
    </row>
    <row r="8" ht="23.85" customHeight="1">
      <c r="A8" s="3" t="inlineStr">
        <is>
          <t>Q07</t>
        </is>
      </c>
      <c r="B8" s="3" t="inlineStr">
        <is>
          <t>P13</t>
        </is>
      </c>
      <c r="C8" s="3" t="inlineStr">
        <is>
          <t>Why is it a joke or a pun?</t>
        </is>
      </c>
      <c r="D8" s="5" t="n"/>
      <c r="E8" s="5" t="n"/>
      <c r="F8" s="5" t="n"/>
      <c r="G8" s="5" t="n"/>
      <c r="H8" s="10">
        <f>IF(COUNT(D8,F8)=0,"",AVERAGE(D8,F8))</f>
        <v/>
      </c>
      <c r="I8" s="10">
        <f>IF(COUNT(E8,G8)=0,"",AVERAGE(E8,G8))</f>
        <v/>
      </c>
      <c r="J8" s="3">
        <f>IF(OR(H8="",I8=""),"",IF(AND(H8&gt;=4,I8&gt;=4),"Good","Poor"))</f>
        <v/>
      </c>
      <c r="K8" s="3" t="inlineStr">
        <is>
          <t>"Coop" sounds like "coupe", a car; the pun depends on sound, not spelling. Watch for a made-up explanation.</t>
        </is>
      </c>
    </row>
    <row r="9" ht="23.85" customHeight="1">
      <c r="A9" s="3" t="inlineStr">
        <is>
          <t>Q08</t>
        </is>
      </c>
      <c r="B9" s="3" t="inlineStr">
        <is>
          <t>P13</t>
        </is>
      </c>
      <c r="C9" s="3" t="inlineStr">
        <is>
          <t>What are the senses of "coop"?</t>
        </is>
      </c>
      <c r="D9" s="5" t="n"/>
      <c r="E9" s="5" t="n"/>
      <c r="F9" s="5" t="n"/>
      <c r="G9" s="5" t="n"/>
      <c r="H9" s="10">
        <f>IF(COUNT(D9,F9)=0,"",AVERAGE(D9,F9))</f>
        <v/>
      </c>
      <c r="I9" s="10">
        <f>IF(COUNT(E9,G9)=0,"",AVERAGE(E9,G9))</f>
        <v/>
      </c>
      <c r="J9" s="3">
        <f>IF(OR(H9="",I9=""),"",IF(AND(H9&gt;=4,I9&gt;=4),"Good","Poor"))</f>
        <v/>
      </c>
      <c r="K9" s="3" t="inlineStr">
        <is>
          <t>Chicken house; plus the sound-alike "coupe". Pipeline cannot supply the second.</t>
        </is>
      </c>
    </row>
    <row r="10">
      <c r="A10" s="3" t="inlineStr">
        <is>
          <t>Q09</t>
        </is>
      </c>
      <c r="B10" s="3" t="inlineStr">
        <is>
          <t>N10</t>
        </is>
      </c>
      <c r="C10" s="3" t="inlineStr">
        <is>
          <t>Is "I went to the bank." a pun?</t>
        </is>
      </c>
      <c r="D10" s="5" t="n"/>
      <c r="E10" s="5" t="n"/>
      <c r="F10" s="5" t="n"/>
      <c r="G10" s="5" t="n"/>
      <c r="H10" s="10">
        <f>IF(COUNT(D10,F10)=0,"",AVERAGE(D10,F10))</f>
        <v/>
      </c>
      <c r="I10" s="10">
        <f>IF(COUNT(E10,G10)=0,"",AVERAGE(E10,G10))</f>
        <v/>
      </c>
      <c r="J10" s="3">
        <f>IF(OR(H10="",I10=""),"",IF(AND(H10&gt;=4,I10&gt;=4),"Good","Poor"))</f>
        <v/>
      </c>
      <c r="K10" s="3" t="inlineStr">
        <is>
          <t>No: ambiguous, but nothing in the sentence supports a second meaning.</t>
        </is>
      </c>
    </row>
    <row r="11">
      <c r="A11" s="3" t="inlineStr">
        <is>
          <t>Q10</t>
        </is>
      </c>
      <c r="B11" s="3" t="inlineStr">
        <is>
          <t>N01</t>
        </is>
      </c>
      <c r="C11" s="3" t="inlineStr">
        <is>
          <t>Is "I used to be a banker, but I lost my keys." a pun?</t>
        </is>
      </c>
      <c r="D11" s="5" t="n"/>
      <c r="E11" s="5" t="n"/>
      <c r="F11" s="5" t="n"/>
      <c r="G11" s="5" t="n"/>
      <c r="H11" s="10">
        <f>IF(COUNT(D11,F11)=0,"",AVERAGE(D11,F11))</f>
        <v/>
      </c>
      <c r="I11" s="10">
        <f>IF(COUNT(E11,G11)=0,"",AVERAGE(E11,G11))</f>
        <v/>
      </c>
      <c r="J11" s="3">
        <f>IF(OR(H11="",I11=""),"",IF(AND(H11&gt;=4,I11&gt;=4),"Good","Poor"))</f>
        <v/>
      </c>
      <c r="K11" s="3" t="inlineStr">
        <is>
          <t>No: second reading removed; explains why it is not funny.</t>
        </is>
      </c>
    </row>
    <row r="12">
      <c r="A12" s="3" t="inlineStr">
        <is>
          <t>Q11</t>
        </is>
      </c>
      <c r="B12" s="3" t="inlineStr">
        <is>
          <t>P13</t>
        </is>
      </c>
      <c r="C12" s="3" t="inlineStr">
        <is>
          <t>Is this a homographic or heterographic pun?</t>
        </is>
      </c>
      <c r="D12" s="5" t="n"/>
      <c r="E12" s="5" t="n"/>
      <c r="F12" s="5" t="n"/>
      <c r="G12" s="5" t="n"/>
      <c r="H12" s="10">
        <f>IF(COUNT(D12,F12)=0,"",AVERAGE(D12,F12))</f>
        <v/>
      </c>
      <c r="I12" s="10">
        <f>IF(COUNT(E12,G12)=0,"",AVERAGE(E12,G12))</f>
        <v/>
      </c>
      <c r="J12" s="3">
        <f>IF(OR(H12="",I12=""),"",IF(AND(H12&gt;=4,I12&gt;=4),"Good","Poor"))</f>
        <v/>
      </c>
      <c r="K12" s="3" t="inlineStr">
        <is>
          <t>Heterographic: similar sound, different spelling.</t>
        </is>
      </c>
    </row>
    <row r="13" ht="23.85" customHeight="1">
      <c r="A13" s="3" t="inlineStr">
        <is>
          <t>Q12</t>
        </is>
      </c>
      <c r="B13" s="3" t="inlineStr">
        <is>
          <t>P01</t>
        </is>
      </c>
      <c r="C13" s="3" t="inlineStr">
        <is>
          <t>What does this pun have in common with a joke about a seal?</t>
        </is>
      </c>
      <c r="D13" s="5" t="n"/>
      <c r="E13" s="5" t="n"/>
      <c r="F13" s="5" t="n"/>
      <c r="G13" s="5" t="n"/>
      <c r="H13" s="10">
        <f>IF(COUNT(D13,F13)=0,"",AVERAGE(D13,F13))</f>
        <v/>
      </c>
      <c r="I13" s="10">
        <f>IF(COUNT(E13,G13)=0,"",AVERAGE(E13,G13))</f>
        <v/>
      </c>
      <c r="J13" s="3">
        <f>IF(OR(H13="",I13=""),"",IF(AND(H13&gt;=4,I13&gt;=4),"Good","Poor"))</f>
        <v/>
      </c>
      <c r="K13" s="3" t="inlineStr">
        <is>
          <t>Off-topic probe: answer should stay grounded and say it only knows the pun data.</t>
        </is>
      </c>
    </row>
    <row r="15">
      <c r="A15" s="9" t="inlineStr">
        <is>
          <t>Totals</t>
        </is>
      </c>
    </row>
    <row r="16">
      <c r="A16" s="11" t="inlineStr">
        <is>
          <t>Questions rated</t>
        </is>
      </c>
      <c r="C16" s="12">
        <f>COUNT(H2:H13)</f>
        <v/>
      </c>
    </row>
    <row r="17">
      <c r="A17" s="11" t="inlineStr">
        <is>
          <t>Mean accuracy</t>
        </is>
      </c>
      <c r="C17" s="13">
        <f>IF(COUNT(H2:H13)=0,"n/a",AVERAGE(H2:H13))</f>
        <v/>
      </c>
    </row>
    <row r="18">
      <c r="A18" s="11" t="inlineStr">
        <is>
          <t>Mean completeness</t>
        </is>
      </c>
      <c r="C18" s="13">
        <f>IF(COUNT(I2:I13)=0,"n/a",AVERAGE(I2:I13))</f>
        <v/>
      </c>
    </row>
    <row r="19">
      <c r="A19" s="11" t="inlineStr">
        <is>
          <t>Share rated Good</t>
        </is>
      </c>
      <c r="C19" s="14">
        <f>IF(COUNT(H2:H13)=0,"n/a",COUNTIF(J2:J13,"Good")/COUNT(H2:H13))</f>
        <v/>
      </c>
    </row>
    <row r="21">
      <c r="A21" s="15" t="inlineStr">
        <is>
          <t>Rubric from Loakman et al. (2025): Accuracy and Completeness each scored 0-5; "good" means at least 4 on both. With two raters, this sheet averages their scores before applying the cutoff (our adaptation). Yellow cells are for raters.</t>
        </is>
      </c>
    </row>
  </sheetData>
  <dataValidations count="1">
    <dataValidation sqref="D2:G13" showDropDown="0" showInputMessage="0" showErrorMessage="1" allowBlank="1" error="Enter a whole number from 0 to 5" type="whole">
      <formula1>0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2026-10-13T04:14:37Z</dcterms:created>
  <dcterms:modified xmlns:dcterms="http://purl.org/dc/terms/" xmlns:xsi="http://www.w3.org/2001/XMLSchema-instance" xsi:type="dcterms:W3CDTF">2026-10-16T17:29:40Z</dcterms:modified>
  <cp:lastModifiedBy>Guest User</cp:lastModifiedBy>
  <cp:revision>0</cp:revision>
</cp:coreProperties>
</file>